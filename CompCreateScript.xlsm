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BC49" lockStructure="1"/>
  <bookViews>
    <workbookView xWindow="360" yWindow="75" windowWidth="28035" windowHeight="12570"/>
  </bookViews>
  <sheets>
    <sheet name="コンポジション作成" sheetId="1" r:id="rId1"/>
    <sheet name="入力補助" sheetId="5" state="hidden" r:id="rId2"/>
  </sheets>
  <definedNames>
    <definedName name="_xlnm._FilterDatabase" localSheetId="0" hidden="1">コンポジション作成!$A$15:$O$15</definedName>
    <definedName name="_xlnm.Criteria" localSheetId="0">コンポジション作成!$A$14:$K$15</definedName>
    <definedName name="ピクセル縦横比" localSheetId="0">入力補助!$A$4:$A$11</definedName>
    <definedName name="共通_個別" localSheetId="0">入力補助!$C$4:$C$5</definedName>
    <definedName name="重複許可" localSheetId="0">入力補助!$D$4:$D$5</definedName>
  </definedNames>
  <calcPr calcId="145621" refMode="R1C1"/>
</workbook>
</file>

<file path=xl/calcChain.xml><?xml version="1.0" encoding="utf-8"?>
<calcChain xmlns="http://schemas.openxmlformats.org/spreadsheetml/2006/main">
  <c r="M13" i="1" l="1"/>
  <c r="N13" i="1" s="1"/>
  <c r="L13" i="1" l="1"/>
  <c r="K13" i="1"/>
  <c r="J13" i="1"/>
  <c r="H13" i="1"/>
  <c r="I13" i="1" s="1"/>
  <c r="G13" i="1"/>
  <c r="F13" i="1"/>
  <c r="B13" i="1"/>
  <c r="H10" i="1" l="1"/>
  <c r="H9" i="1"/>
</calcChain>
</file>

<file path=xl/sharedStrings.xml><?xml version="1.0" encoding="utf-8"?>
<sst xmlns="http://schemas.openxmlformats.org/spreadsheetml/2006/main" count="43" uniqueCount="38">
  <si>
    <t>コンポジション名</t>
    <rPh sb="7" eb="8">
      <t>メイ</t>
    </rPh>
    <phoneticPr fontId="1"/>
  </si>
  <si>
    <t>連番</t>
    <rPh sb="0" eb="2">
      <t>レンバン</t>
    </rPh>
    <phoneticPr fontId="1"/>
  </si>
  <si>
    <t>名前</t>
    <rPh sb="0" eb="1">
      <t>メイ</t>
    </rPh>
    <rPh sb="1" eb="2">
      <t>マエ</t>
    </rPh>
    <phoneticPr fontId="1"/>
  </si>
  <si>
    <t>幅(px)</t>
  </si>
  <si>
    <t>幅(px)</t>
    <rPh sb="0" eb="1">
      <t>ハバ</t>
    </rPh>
    <phoneticPr fontId="1"/>
  </si>
  <si>
    <t>高さ(px)</t>
  </si>
  <si>
    <t>高さ(px)</t>
    <rPh sb="0" eb="1">
      <t>タカ</t>
    </rPh>
    <phoneticPr fontId="1"/>
  </si>
  <si>
    <t>ピクセル縦横比</t>
  </si>
  <si>
    <t>ピクセル縦横比</t>
    <rPh sb="4" eb="6">
      <t>タテヨコ</t>
    </rPh>
    <rPh sb="6" eb="7">
      <t>ヒ</t>
    </rPh>
    <phoneticPr fontId="1"/>
  </si>
  <si>
    <t>リスト設定</t>
    <rPh sb="3" eb="5">
      <t>セッテイ</t>
    </rPh>
    <phoneticPr fontId="1"/>
  </si>
  <si>
    <t>正方形ピクセル</t>
    <rPh sb="0" eb="3">
      <t>セイホウケイ</t>
    </rPh>
    <phoneticPr fontId="1"/>
  </si>
  <si>
    <t>D1/DV NTSC</t>
    <phoneticPr fontId="1"/>
  </si>
  <si>
    <t>D1/DV NTSC ワイドスクリーン</t>
    <phoneticPr fontId="1"/>
  </si>
  <si>
    <t>D1/DV PAL</t>
    <phoneticPr fontId="1"/>
  </si>
  <si>
    <t>D1/DV PAL　ワイドスクリーン</t>
    <phoneticPr fontId="1"/>
  </si>
  <si>
    <t>HDV 1080/DVCPRO HD 720</t>
    <phoneticPr fontId="1"/>
  </si>
  <si>
    <t>DVCPRO HD 1080</t>
    <phoneticPr fontId="1"/>
  </si>
  <si>
    <t>アナモルフィック2：1</t>
    <phoneticPr fontId="1"/>
  </si>
  <si>
    <t>名称</t>
    <rPh sb="0" eb="2">
      <t>メイショウ</t>
    </rPh>
    <phoneticPr fontId="1"/>
  </si>
  <si>
    <t>フレームレート</t>
    <phoneticPr fontId="1"/>
  </si>
  <si>
    <t>デュレーション(秒)</t>
    <rPh sb="8" eb="9">
      <t>ビョウ</t>
    </rPh>
    <phoneticPr fontId="1"/>
  </si>
  <si>
    <t>行No</t>
    <rPh sb="0" eb="1">
      <t>ギョウ</t>
    </rPh>
    <phoneticPr fontId="1"/>
  </si>
  <si>
    <t>Ver1.0.0</t>
    <phoneticPr fontId="1"/>
  </si>
  <si>
    <t>選択</t>
    <rPh sb="0" eb="2">
      <t>センタク</t>
    </rPh>
    <phoneticPr fontId="1"/>
  </si>
  <si>
    <t>コンポジション設定(共通)</t>
    <rPh sb="7" eb="9">
      <t>セッテイ</t>
    </rPh>
    <rPh sb="10" eb="12">
      <t>キョウツウ</t>
    </rPh>
    <phoneticPr fontId="1"/>
  </si>
  <si>
    <t>コンポジション設定</t>
    <rPh sb="7" eb="9">
      <t>セッテイ</t>
    </rPh>
    <phoneticPr fontId="1"/>
  </si>
  <si>
    <t>スクリプト生成文字列</t>
    <rPh sb="5" eb="7">
      <t>セイセイ</t>
    </rPh>
    <rPh sb="7" eb="10">
      <t>モジレツ</t>
    </rPh>
    <phoneticPr fontId="1"/>
  </si>
  <si>
    <t>共通/個別</t>
    <rPh sb="0" eb="2">
      <t>キョウツウ</t>
    </rPh>
    <rPh sb="3" eb="5">
      <t>コベツ</t>
    </rPh>
    <phoneticPr fontId="1"/>
  </si>
  <si>
    <t>共通</t>
    <rPh sb="0" eb="2">
      <t>キョウツウ</t>
    </rPh>
    <phoneticPr fontId="1"/>
  </si>
  <si>
    <t>個別</t>
    <rPh sb="0" eb="2">
      <t>コベツ</t>
    </rPh>
    <phoneticPr fontId="1"/>
  </si>
  <si>
    <t>AfterEfect_コンポジション自動作成スクリプト生成</t>
    <rPh sb="18" eb="20">
      <t>ジドウ</t>
    </rPh>
    <rPh sb="20" eb="22">
      <t>サクセイ</t>
    </rPh>
    <rPh sb="27" eb="29">
      <t>セイセイ</t>
    </rPh>
    <phoneticPr fontId="1"/>
  </si>
  <si>
    <t>※空白行は最終行とみなすため、空白行より下の行は処理対象外となりますのでご注意ください。</t>
    <rPh sb="1" eb="3">
      <t>クウハク</t>
    </rPh>
    <rPh sb="3" eb="4">
      <t>ギョウ</t>
    </rPh>
    <rPh sb="5" eb="8">
      <t>サイシュウギョウ</t>
    </rPh>
    <rPh sb="15" eb="17">
      <t>クウハク</t>
    </rPh>
    <rPh sb="17" eb="18">
      <t>ギョウ</t>
    </rPh>
    <rPh sb="20" eb="21">
      <t>シタ</t>
    </rPh>
    <rPh sb="22" eb="23">
      <t>ギョウ</t>
    </rPh>
    <rPh sb="24" eb="26">
      <t>ショリ</t>
    </rPh>
    <rPh sb="26" eb="29">
      <t>タイショウガイ</t>
    </rPh>
    <rPh sb="37" eb="39">
      <t>チュウイ</t>
    </rPh>
    <phoneticPr fontId="1"/>
  </si>
  <si>
    <t>〇</t>
    <phoneticPr fontId="1"/>
  </si>
  <si>
    <t>名前重複</t>
    <rPh sb="0" eb="2">
      <t>ナマエ</t>
    </rPh>
    <rPh sb="2" eb="4">
      <t>チョウフク</t>
    </rPh>
    <phoneticPr fontId="1"/>
  </si>
  <si>
    <t>重複許可</t>
    <rPh sb="0" eb="2">
      <t>チョウフク</t>
    </rPh>
    <rPh sb="2" eb="4">
      <t>キョカ</t>
    </rPh>
    <phoneticPr fontId="1"/>
  </si>
  <si>
    <t>名前</t>
    <rPh sb="0" eb="2">
      <t>ナマエ</t>
    </rPh>
    <phoneticPr fontId="1"/>
  </si>
  <si>
    <t>〇</t>
    <phoneticPr fontId="1"/>
  </si>
  <si>
    <t>デュレーション(秒)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</si>
</sst>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_ "/>
    <numFmt numFmtId="178" formatCode="h&quot;時&quot;mm&quot;分&quot;ss.0&quot;秒&quot;;@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b/>
      <sz val="18"/>
      <color theme="0"/>
      <name val="HGP創英ﾌﾟﾚｾﾞﾝｽEB"/>
      <family val="1"/>
      <charset val="128"/>
    </font>
    <font>
      <b/>
      <sz val="9"/>
      <color rgb="FFFF66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BACC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5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>
      <alignment horizontal="left" vertical="center"/>
    </xf>
    <xf numFmtId="0" fontId="5" fillId="8" borderId="1" xfId="0" applyFont="1" applyFill="1" applyBorder="1" applyProtection="1">
      <alignment vertical="center"/>
    </xf>
    <xf numFmtId="176" fontId="5" fillId="8" borderId="1" xfId="0" applyNumberFormat="1" applyFont="1" applyFill="1" applyBorder="1" applyAlignment="1" applyProtection="1">
      <alignment horizontal="right" vertical="center"/>
    </xf>
    <xf numFmtId="177" fontId="5" fillId="8" borderId="1" xfId="0" applyNumberFormat="1" applyFont="1" applyFill="1" applyBorder="1" applyProtection="1">
      <alignment vertical="center"/>
    </xf>
    <xf numFmtId="176" fontId="5" fillId="8" borderId="1" xfId="0" applyNumberFormat="1" applyFont="1" applyFill="1" applyBorder="1" applyProtection="1">
      <alignment vertical="center"/>
    </xf>
    <xf numFmtId="0" fontId="5" fillId="2" borderId="3" xfId="0" applyFont="1" applyFill="1" applyBorder="1" applyAlignment="1">
      <alignment vertical="center"/>
    </xf>
    <xf numFmtId="0" fontId="5" fillId="5" borderId="3" xfId="0" applyFont="1" applyFill="1" applyBorder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0" borderId="1" xfId="0" applyFont="1" applyBorder="1" applyProtection="1">
      <alignment vertical="center"/>
      <protection locked="0"/>
    </xf>
    <xf numFmtId="0" fontId="5" fillId="6" borderId="2" xfId="0" applyFont="1" applyFill="1" applyBorder="1" applyAlignment="1">
      <alignment horizontal="center" vertical="center"/>
    </xf>
    <xf numFmtId="0" fontId="5" fillId="0" borderId="1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2" fillId="10" borderId="0" xfId="0" applyFont="1" applyFill="1">
      <alignment vertical="center"/>
    </xf>
    <xf numFmtId="0" fontId="5" fillId="9" borderId="3" xfId="0" applyFont="1" applyFill="1" applyBorder="1" applyAlignment="1">
      <alignment vertical="center"/>
    </xf>
    <xf numFmtId="0" fontId="5" fillId="9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vertical="center"/>
    </xf>
    <xf numFmtId="176" fontId="5" fillId="0" borderId="1" xfId="0" applyNumberFormat="1" applyFont="1" applyBorder="1" applyAlignment="1" applyProtection="1">
      <alignment horizontal="left" vertical="center"/>
      <protection locked="0"/>
    </xf>
    <xf numFmtId="177" fontId="5" fillId="0" borderId="1" xfId="0" applyNumberFormat="1" applyFont="1" applyBorder="1" applyAlignment="1" applyProtection="1">
      <alignment horizontal="left" vertical="center"/>
      <protection locked="0"/>
    </xf>
    <xf numFmtId="0" fontId="6" fillId="4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8" fillId="10" borderId="0" xfId="0" applyFont="1" applyFill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7" borderId="1" xfId="0" applyFont="1" applyFill="1" applyBorder="1" applyAlignment="1">
      <alignment horizontal="left" vertical="center"/>
    </xf>
    <xf numFmtId="178" fontId="5" fillId="7" borderId="1" xfId="0" applyNumberFormat="1" applyFont="1" applyFill="1" applyBorder="1" applyAlignment="1">
      <alignment horizontal="left" vertical="center"/>
    </xf>
    <xf numFmtId="176" fontId="5" fillId="0" borderId="1" xfId="0" applyNumberFormat="1" applyFont="1" applyBorder="1" applyAlignment="1" applyProtection="1">
      <alignment horizontal="left" vertical="center"/>
      <protection locked="0"/>
    </xf>
    <xf numFmtId="0" fontId="5" fillId="5" borderId="4" xfId="0" applyFont="1" applyFill="1" applyBorder="1" applyAlignment="1">
      <alignment horizontal="left" vertical="center"/>
    </xf>
    <xf numFmtId="0" fontId="5" fillId="5" borderId="6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4BACC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0</xdr:rowOff>
        </xdr:from>
        <xdr:to>
          <xdr:col>1</xdr:col>
          <xdr:colOff>381000</xdr:colOff>
          <xdr:row>7</xdr:row>
          <xdr:rowOff>19050</xdr:rowOff>
        </xdr:to>
        <xdr:sp macro="" textlink="">
          <xdr:nvSpPr>
            <xdr:cNvPr id="1052" name="BtnScriptOut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6600"/>
                  </a:solidFill>
                  <a:latin typeface="ＭＳ Ｐゴシック"/>
                  <a:ea typeface="ＭＳ Ｐゴシック"/>
                </a:rPr>
                <a:t>スクリプト作成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8</xdr:row>
          <xdr:rowOff>161925</xdr:rowOff>
        </xdr:from>
        <xdr:to>
          <xdr:col>1</xdr:col>
          <xdr:colOff>381000</xdr:colOff>
          <xdr:row>11</xdr:row>
          <xdr:rowOff>9525</xdr:rowOff>
        </xdr:to>
        <xdr:sp macro="" textlink="">
          <xdr:nvSpPr>
            <xdr:cNvPr id="1053" name="BtnAddRow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1857375</xdr:colOff>
          <xdr:row>8</xdr:row>
          <xdr:rowOff>161925</xdr:rowOff>
        </xdr:from>
        <xdr:to>
          <xdr:col>3</xdr:col>
          <xdr:colOff>38100</xdr:colOff>
          <xdr:row>11</xdr:row>
          <xdr:rowOff>9525</xdr:rowOff>
        </xdr:to>
        <xdr:sp macro="" textlink="">
          <xdr:nvSpPr>
            <xdr:cNvPr id="1056" name="BtnDe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8</xdr:row>
          <xdr:rowOff>161925</xdr:rowOff>
        </xdr:from>
        <xdr:to>
          <xdr:col>2</xdr:col>
          <xdr:colOff>1771650</xdr:colOff>
          <xdr:row>11</xdr:row>
          <xdr:rowOff>9525</xdr:rowOff>
        </xdr:to>
        <xdr:sp macro="" textlink="">
          <xdr:nvSpPr>
            <xdr:cNvPr id="1059" name="BtnAddSelectRow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8</xdr:row>
          <xdr:rowOff>161925</xdr:rowOff>
        </xdr:from>
        <xdr:to>
          <xdr:col>2</xdr:col>
          <xdr:colOff>781050</xdr:colOff>
          <xdr:row>11</xdr:row>
          <xdr:rowOff>9525</xdr:rowOff>
        </xdr:to>
        <xdr:sp macro="" textlink="">
          <xdr:nvSpPr>
            <xdr:cNvPr id="1061" name="BtnAddMultiRow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複数行追加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5"/>
  <sheetViews>
    <sheetView showGridLines="0" tabSelected="1" workbookViewId="0"/>
  </sheetViews>
  <sheetFormatPr defaultRowHeight="13.5" x14ac:dyDescent="0.15"/>
  <cols>
    <col min="1" max="1" width="8.125" style="5" customWidth="1"/>
    <col min="2" max="2" width="8.75" style="5" customWidth="1"/>
    <col min="3" max="3" width="35.625" style="5" customWidth="1"/>
    <col min="4" max="4" width="10" style="5" customWidth="1"/>
    <col min="5" max="5" width="9.5" style="5" customWidth="1"/>
    <col min="6" max="7" width="11.5" style="5" customWidth="1"/>
    <col min="8" max="8" width="8" style="5" customWidth="1"/>
    <col min="9" max="9" width="25.375" style="5" customWidth="1"/>
    <col min="10" max="10" width="17.375" style="5" customWidth="1"/>
    <col min="11" max="11" width="14.5" style="5" customWidth="1"/>
    <col min="12" max="12" width="44.75" style="5" hidden="1" customWidth="1"/>
    <col min="13" max="13" width="11.25" style="5" hidden="1" customWidth="1"/>
    <col min="14" max="15" width="9" style="5" customWidth="1"/>
    <col min="16" max="16384" width="9" style="5"/>
  </cols>
  <sheetData>
    <row r="1" spans="1:15" ht="11.25" customHeight="1" x14ac:dyDescent="0.15">
      <c r="B1" s="2"/>
      <c r="O1" s="6" t="s">
        <v>22</v>
      </c>
    </row>
    <row r="2" spans="1:15" ht="6" customHeight="1" x14ac:dyDescent="0.15">
      <c r="A2" s="32" t="s">
        <v>30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24"/>
      <c r="M2" s="24"/>
      <c r="N2" s="24"/>
      <c r="O2" s="24"/>
    </row>
    <row r="3" spans="1:15" ht="13.5" customHeight="1" x14ac:dyDescent="0.1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24"/>
      <c r="M3" s="24"/>
      <c r="N3" s="24"/>
      <c r="O3" s="24"/>
    </row>
    <row r="4" spans="1:15" x14ac:dyDescent="0.15">
      <c r="A4" s="33" t="s">
        <v>31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4"/>
      <c r="M4" s="4"/>
      <c r="N4" s="4"/>
      <c r="O4" s="4"/>
    </row>
    <row r="5" spans="1:15" x14ac:dyDescent="0.15">
      <c r="A5" s="4"/>
      <c r="B5" s="9"/>
      <c r="C5" s="9"/>
      <c r="D5" s="9"/>
      <c r="E5" s="9"/>
      <c r="F5" s="9"/>
      <c r="G5" s="9"/>
      <c r="H5" s="9"/>
      <c r="I5" s="9"/>
      <c r="J5" s="9"/>
      <c r="K5" s="9"/>
      <c r="L5" s="4"/>
      <c r="M5" s="4"/>
      <c r="N5" s="4"/>
      <c r="O5" s="4"/>
    </row>
    <row r="6" spans="1:15" x14ac:dyDescent="0.15">
      <c r="A6" s="4"/>
      <c r="B6" s="4"/>
      <c r="C6" s="4"/>
      <c r="D6" s="4"/>
      <c r="E6" s="34" t="s">
        <v>24</v>
      </c>
      <c r="F6" s="34"/>
      <c r="G6" s="34"/>
      <c r="H6" s="34"/>
      <c r="I6" s="34"/>
      <c r="J6" s="34"/>
      <c r="K6" s="34"/>
      <c r="L6" s="4"/>
      <c r="M6" s="4"/>
      <c r="N6" s="4"/>
      <c r="O6" s="4"/>
    </row>
    <row r="7" spans="1:15" x14ac:dyDescent="0.15">
      <c r="A7" s="4"/>
      <c r="B7" s="4"/>
      <c r="C7" s="4"/>
      <c r="D7" s="4"/>
      <c r="E7" s="39" t="s">
        <v>3</v>
      </c>
      <c r="F7" s="40"/>
      <c r="G7" s="35">
        <v>1280</v>
      </c>
      <c r="H7" s="35"/>
      <c r="I7" s="35"/>
      <c r="J7" s="35"/>
      <c r="K7" s="35"/>
      <c r="L7" s="4"/>
      <c r="M7" s="4"/>
      <c r="N7" s="4"/>
      <c r="O7" s="4"/>
    </row>
    <row r="8" spans="1:15" x14ac:dyDescent="0.15">
      <c r="A8" s="4"/>
      <c r="B8" s="4"/>
      <c r="C8" s="4"/>
      <c r="D8" s="4"/>
      <c r="E8" s="39" t="s">
        <v>5</v>
      </c>
      <c r="F8" s="40"/>
      <c r="G8" s="35">
        <v>720</v>
      </c>
      <c r="H8" s="35"/>
      <c r="I8" s="35"/>
      <c r="J8" s="35"/>
      <c r="K8" s="35"/>
      <c r="L8" s="4"/>
      <c r="M8" s="4"/>
      <c r="N8" s="4"/>
      <c r="O8" s="4"/>
    </row>
    <row r="9" spans="1:15" x14ac:dyDescent="0.15">
      <c r="A9" s="4"/>
      <c r="B9" s="4"/>
      <c r="C9" s="4"/>
      <c r="D9" s="4"/>
      <c r="E9" s="39" t="s">
        <v>7</v>
      </c>
      <c r="F9" s="40"/>
      <c r="G9" s="28">
        <v>1</v>
      </c>
      <c r="H9" s="36" t="str">
        <f>VLOOKUP(G9,入力補助!$A$4:$B$11,2,FALSE)</f>
        <v>正方形ピクセル</v>
      </c>
      <c r="I9" s="36"/>
      <c r="J9" s="36"/>
      <c r="K9" s="36"/>
      <c r="L9" s="4"/>
      <c r="M9" s="4"/>
      <c r="N9" s="4"/>
      <c r="O9" s="4"/>
    </row>
    <row r="10" spans="1:15" x14ac:dyDescent="0.15">
      <c r="A10" s="4"/>
      <c r="B10" s="4"/>
      <c r="C10" s="4"/>
      <c r="D10" s="4"/>
      <c r="E10" s="39" t="s">
        <v>37</v>
      </c>
      <c r="F10" s="40"/>
      <c r="G10" s="29">
        <v>2</v>
      </c>
      <c r="H10" s="37">
        <f>G10/24/60/60</f>
        <v>2.3148148148148147E-5</v>
      </c>
      <c r="I10" s="37"/>
      <c r="J10" s="37"/>
      <c r="K10" s="37"/>
      <c r="L10" s="4"/>
      <c r="M10" s="4"/>
      <c r="N10" s="4"/>
      <c r="O10" s="4"/>
    </row>
    <row r="11" spans="1:15" x14ac:dyDescent="0.15">
      <c r="A11" s="4"/>
      <c r="B11" s="4"/>
      <c r="C11" s="4"/>
      <c r="D11" s="4"/>
      <c r="E11" s="39" t="s">
        <v>19</v>
      </c>
      <c r="F11" s="40"/>
      <c r="G11" s="38">
        <v>29.97</v>
      </c>
      <c r="H11" s="38"/>
      <c r="I11" s="38"/>
      <c r="J11" s="38"/>
      <c r="K11" s="38"/>
      <c r="L11" s="4"/>
      <c r="M11" s="4"/>
      <c r="N11" s="4"/>
      <c r="O11" s="4"/>
    </row>
    <row r="12" spans="1:15" x14ac:dyDescent="0.1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</row>
    <row r="13" spans="1:15" hidden="1" x14ac:dyDescent="0.15">
      <c r="A13" s="10" t="s">
        <v>32</v>
      </c>
      <c r="B13" s="3">
        <f>ROW()-15</f>
        <v>-2</v>
      </c>
      <c r="C13" s="20"/>
      <c r="D13" s="20"/>
      <c r="E13" s="10" t="s">
        <v>28</v>
      </c>
      <c r="F13" s="12">
        <f>$G$7</f>
        <v>1280</v>
      </c>
      <c r="G13" s="12">
        <f>$G$8</f>
        <v>720</v>
      </c>
      <c r="H13" s="13">
        <f>$G$9</f>
        <v>1</v>
      </c>
      <c r="I13" s="11" t="str">
        <f>IF(ISERROR(VLOOKUP(H13,入力補助!$A$4:$B$11,2,FALSE)),"",VLOOKUP(H13,入力補助!$A$4:$B$11,2,FALSE))</f>
        <v>正方形ピクセル</v>
      </c>
      <c r="J13" s="14">
        <f>$G$10</f>
        <v>2</v>
      </c>
      <c r="K13" s="15">
        <f>$G$11</f>
        <v>29.97</v>
      </c>
      <c r="L13" s="22" t="str">
        <f>IF(M13="","","app.project.items.addComp("&amp;""""&amp;C13&amp; D13&amp;""""&amp;", "&amp;F13&amp;", "&amp;G13&amp;", "&amp;H13&amp;", "&amp;J13&amp;", "&amp;K13&amp;");")</f>
        <v/>
      </c>
      <c r="M13" s="22" t="str">
        <f>C13&amp;D13</f>
        <v/>
      </c>
      <c r="N13" s="3" t="str">
        <f>IF(M13="","",COUNTIF($M:$M,M13)-1)</f>
        <v/>
      </c>
      <c r="O13" s="10"/>
    </row>
    <row r="14" spans="1:15" x14ac:dyDescent="0.15">
      <c r="A14" s="18" t="s">
        <v>23</v>
      </c>
      <c r="B14" s="18" t="s">
        <v>21</v>
      </c>
      <c r="C14" s="31" t="s">
        <v>0</v>
      </c>
      <c r="D14" s="31"/>
      <c r="E14" s="19" t="s">
        <v>27</v>
      </c>
      <c r="F14" s="41" t="s">
        <v>25</v>
      </c>
      <c r="G14" s="42"/>
      <c r="H14" s="42"/>
      <c r="I14" s="42"/>
      <c r="J14" s="42"/>
      <c r="K14" s="43"/>
      <c r="L14" s="21" t="s">
        <v>26</v>
      </c>
      <c r="M14" s="21" t="s">
        <v>35</v>
      </c>
      <c r="N14" s="26" t="s">
        <v>33</v>
      </c>
      <c r="O14" s="26" t="s">
        <v>34</v>
      </c>
    </row>
    <row r="15" spans="1:15" x14ac:dyDescent="0.15">
      <c r="A15" s="16"/>
      <c r="B15" s="16"/>
      <c r="C15" s="7" t="s">
        <v>2</v>
      </c>
      <c r="D15" s="7" t="s">
        <v>1</v>
      </c>
      <c r="E15" s="17"/>
      <c r="F15" s="8" t="s">
        <v>4</v>
      </c>
      <c r="G15" s="8" t="s">
        <v>6</v>
      </c>
      <c r="H15" s="30" t="s">
        <v>8</v>
      </c>
      <c r="I15" s="30"/>
      <c r="J15" s="8" t="s">
        <v>20</v>
      </c>
      <c r="K15" s="8" t="s">
        <v>19</v>
      </c>
      <c r="L15" s="27"/>
      <c r="M15" s="27"/>
      <c r="N15" s="25"/>
      <c r="O15" s="25"/>
    </row>
  </sheetData>
  <sheetProtection password="BC49" sheet="1" objects="1" scenarios="1" autoFilter="0"/>
  <autoFilter ref="A15:O15">
    <filterColumn colId="7" showButton="0"/>
  </autoFilter>
  <mergeCells count="16">
    <mergeCell ref="H15:I15"/>
    <mergeCell ref="C14:D14"/>
    <mergeCell ref="A2:K3"/>
    <mergeCell ref="A4:K4"/>
    <mergeCell ref="E6:K6"/>
    <mergeCell ref="G7:K7"/>
    <mergeCell ref="G8:K8"/>
    <mergeCell ref="H9:K9"/>
    <mergeCell ref="H10:K10"/>
    <mergeCell ref="G11:K11"/>
    <mergeCell ref="E7:F7"/>
    <mergeCell ref="E8:F8"/>
    <mergeCell ref="E9:F9"/>
    <mergeCell ref="E10:F10"/>
    <mergeCell ref="E11:F11"/>
    <mergeCell ref="F14:K14"/>
  </mergeCells>
  <phoneticPr fontId="1"/>
  <dataValidations count="8">
    <dataValidation type="list" allowBlank="1" showInputMessage="1" showErrorMessage="1" sqref="G9 H13">
      <formula1>ピクセル縦横比</formula1>
    </dataValidation>
    <dataValidation type="decimal" allowBlank="1" showErrorMessage="1" errorTitle="入力値不正" error="デュレーション(秒)に入力できる値は0.1から10800.0までの間です。" sqref="G10 J13">
      <formula1>0.1</formula1>
      <formula2>10800</formula2>
    </dataValidation>
    <dataValidation type="decimal" allowBlank="1" showErrorMessage="1" errorTitle="入力値不正" error="フレームレートに入力できる値は1.0から99.0までの間です。" sqref="G11 K13">
      <formula1>1</formula1>
      <formula2>99</formula2>
    </dataValidation>
    <dataValidation type="whole" allowBlank="1" showErrorMessage="1" errorTitle="入力値不正" error="幅(px)に入力できる値は4から30000までの間です。" sqref="G7:K7">
      <formula1>4</formula1>
      <formula2>30000</formula2>
    </dataValidation>
    <dataValidation type="whole" allowBlank="1" showErrorMessage="1" errorTitle="入力値不正" error="高さ(px)に入力できる値は4から30000までの間です。" sqref="G8:K8 G13">
      <formula1>4</formula1>
      <formula2>30000</formula2>
    </dataValidation>
    <dataValidation type="whole" allowBlank="1" showInputMessage="1" showErrorMessage="1" errorTitle="入力値不正" error="幅(px)に入力できる値は4から30000までの間です。" sqref="F13">
      <formula1>4</formula1>
      <formula2>30000</formula2>
    </dataValidation>
    <dataValidation type="list" allowBlank="1" showInputMessage="1" showErrorMessage="1" sqref="E13">
      <formula1>共通_個別</formula1>
    </dataValidation>
    <dataValidation type="list" allowBlank="1" showInputMessage="1" showErrorMessage="1" sqref="O13">
      <formula1>重複許可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BtnScriptOut">
              <controlPr defaultSize="0" print="0" autoFill="0" autoPict="0" macro="[0]!BtnScriptOut_Click">
                <anchor moveWithCells="1" sizeWithCells="1">
                  <from>
                    <xdr:col>0</xdr:col>
                    <xdr:colOff>104775</xdr:colOff>
                    <xdr:row>5</xdr:row>
                    <xdr:rowOff>0</xdr:rowOff>
                  </from>
                  <to>
                    <xdr:col>1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" name="BtnAddRow">
              <controlPr defaultSize="0" print="0" autoFill="0" autoPict="0" macro="[0]!BtnAddRow_Click">
                <anchor moveWithCells="1" sizeWithCells="1">
                  <from>
                    <xdr:col>0</xdr:col>
                    <xdr:colOff>104775</xdr:colOff>
                    <xdr:row>8</xdr:row>
                    <xdr:rowOff>161925</xdr:rowOff>
                  </from>
                  <to>
                    <xdr:col>1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tnDel">
              <controlPr defaultSize="0" print="0" autoFill="0" autoPict="0" macro="[0]!BtnDel_Click">
                <anchor moveWithCells="1" sizeWithCells="1">
                  <from>
                    <xdr:col>2</xdr:col>
                    <xdr:colOff>1857375</xdr:colOff>
                    <xdr:row>8</xdr:row>
                    <xdr:rowOff>161925</xdr:rowOff>
                  </from>
                  <to>
                    <xdr:col>3</xdr:col>
                    <xdr:colOff>38100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tnAddSelectRow">
              <controlPr defaultSize="0" print="0" autoFill="0" autoPict="0" macro="[0]!BtnAddSelectRowClick">
                <anchor moveWithCells="1" sizeWithCells="1">
                  <from>
                    <xdr:col>2</xdr:col>
                    <xdr:colOff>876300</xdr:colOff>
                    <xdr:row>8</xdr:row>
                    <xdr:rowOff>161925</xdr:rowOff>
                  </from>
                  <to>
                    <xdr:col>2</xdr:col>
                    <xdr:colOff>1771650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tnAddMultiRow">
              <controlPr defaultSize="0" print="0" autoFill="0" autoPict="0" macro="[0]!BtnAddMultiRow">
                <anchor moveWithCells="1" sizeWithCells="1">
                  <from>
                    <xdr:col>1</xdr:col>
                    <xdr:colOff>552450</xdr:colOff>
                    <xdr:row>8</xdr:row>
                    <xdr:rowOff>161925</xdr:rowOff>
                  </from>
                  <to>
                    <xdr:col>2</xdr:col>
                    <xdr:colOff>781050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3"/>
  <sheetViews>
    <sheetView workbookViewId="0"/>
  </sheetViews>
  <sheetFormatPr defaultRowHeight="13.5" x14ac:dyDescent="0.15"/>
  <cols>
    <col min="1" max="1" width="13.625" customWidth="1"/>
    <col min="2" max="2" width="27.5" bestFit="1" customWidth="1"/>
    <col min="3" max="3" width="10" bestFit="1" customWidth="1"/>
  </cols>
  <sheetData>
    <row r="1" spans="1:4" x14ac:dyDescent="0.15">
      <c r="A1" t="s">
        <v>9</v>
      </c>
    </row>
    <row r="3" spans="1:4" x14ac:dyDescent="0.15">
      <c r="A3" t="s">
        <v>8</v>
      </c>
      <c r="B3" t="s">
        <v>18</v>
      </c>
      <c r="C3" t="s">
        <v>27</v>
      </c>
      <c r="D3" s="23" t="s">
        <v>34</v>
      </c>
    </row>
    <row r="4" spans="1:4" x14ac:dyDescent="0.15">
      <c r="A4" s="1">
        <v>1</v>
      </c>
      <c r="B4" t="s">
        <v>10</v>
      </c>
      <c r="C4" t="s">
        <v>28</v>
      </c>
    </row>
    <row r="5" spans="1:4" x14ac:dyDescent="0.15">
      <c r="A5" s="1">
        <v>0.91</v>
      </c>
      <c r="B5" t="s">
        <v>11</v>
      </c>
      <c r="C5" t="s">
        <v>29</v>
      </c>
      <c r="D5" s="23" t="s">
        <v>36</v>
      </c>
    </row>
    <row r="6" spans="1:4" x14ac:dyDescent="0.15">
      <c r="A6" s="1">
        <v>1.21</v>
      </c>
      <c r="B6" t="s">
        <v>12</v>
      </c>
    </row>
    <row r="7" spans="1:4" x14ac:dyDescent="0.15">
      <c r="A7" s="1">
        <v>1.0900000000000001</v>
      </c>
      <c r="B7" t="s">
        <v>13</v>
      </c>
    </row>
    <row r="8" spans="1:4" x14ac:dyDescent="0.15">
      <c r="A8" s="1">
        <v>1.46</v>
      </c>
      <c r="B8" t="s">
        <v>14</v>
      </c>
    </row>
    <row r="9" spans="1:4" x14ac:dyDescent="0.15">
      <c r="A9" s="1">
        <v>1.33</v>
      </c>
      <c r="B9" t="s">
        <v>15</v>
      </c>
    </row>
    <row r="10" spans="1:4" x14ac:dyDescent="0.15">
      <c r="A10" s="1">
        <v>1.5</v>
      </c>
      <c r="B10" t="s">
        <v>16</v>
      </c>
    </row>
    <row r="11" spans="1:4" x14ac:dyDescent="0.15">
      <c r="A11" s="1">
        <v>2</v>
      </c>
      <c r="B11" t="s">
        <v>17</v>
      </c>
    </row>
    <row r="12" spans="1:4" x14ac:dyDescent="0.15">
      <c r="A12" s="1"/>
    </row>
    <row r="13" spans="1:4" x14ac:dyDescent="0.15">
      <c r="A13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コンポジション作成</vt:lpstr>
      <vt:lpstr>入力補助</vt:lpstr>
      <vt:lpstr>コンポジション作成!Criteria</vt:lpstr>
      <vt:lpstr>コンポジション作成!ピクセル縦横比</vt:lpstr>
      <vt:lpstr>コンポジション作成!共通_個別</vt:lpstr>
      <vt:lpstr>コンポジション作成!重複許可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平野雄健</dc:creator>
  <cp:lastModifiedBy>平野雄健</cp:lastModifiedBy>
  <dcterms:created xsi:type="dcterms:W3CDTF">2018-11-25T15:58:32Z</dcterms:created>
  <dcterms:modified xsi:type="dcterms:W3CDTF">2018-11-26T11:31:29Z</dcterms:modified>
</cp:coreProperties>
</file>